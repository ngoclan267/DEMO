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Tinh gia" sheetId="1" r:id="rId1"/>
    <sheet name="Bang gia model" sheetId="2" r:id="rId2"/>
    <sheet name="Du lieu thuc 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<sst xmlns="http://schemas.openxmlformats.org/spreadsheetml/2006/main" count="85" uniqueCount="62">
  <si>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Bảng tính chi phí LLM theo token — đổi model ở cột B để tính lại tự động</t>
  </si>
  <si>
    <t>Tỷ giá USD → VND (tự cập nhật theo tỷ giá thực tế khi dùng):</t>
  </si>
  <si>
    <t>Agent</t>
  </si>
  <si>
    <t>Model chọn (dropdown)</t>
  </si>
  <si>
    <t xml:space="preserve"> Avg. Input (token)</t>
  </si>
  <si>
    <t>Avg. Output (token)</t>
  </si>
  <si>
    <t>Giá Input $/1M</t>
  </si>
  <si>
    <t>Giá Output $/1M</t>
  </si>
  <si>
    <t>Chi phí/lượt ($)</t>
  </si>
  <si>
    <t>Số lượt lịch sử</t>
  </si>
  <si>
    <t>Chi phí lịch sử ($)</t>
  </si>
  <si>
    <t>Chi phí lịch sử (VNĐ)</t>
  </si>
  <si>
    <t>classification</t>
  </si>
  <si>
    <t>DeepSeek-V3.2</t>
  </si>
  <si>
    <t>verification</t>
  </si>
  <si>
    <t>consensus</t>
  </si>
  <si>
    <t>pain_point_description</t>
  </si>
  <si>
    <t>gemma-4-31B-it-turbo</t>
  </si>
  <si>
    <t>news_sentiment</t>
  </si>
  <si>
    <t>DeepSeek-V4-Flash-0731</t>
  </si>
  <si>
    <t>TỔNG</t>
  </si>
  <si>
    <t>Chi phí ước tính / 1 post (classify+verify+consensus)</t>
  </si>
  <si>
    <t>So sánh: hiện tại dùng gemma-4-26b-a4b-it qua Gemini API trực tiếp của Google = $0/lượt (free tier). Bảng trên tính chi phí NẾU đổi sang các model có phí như kế hoạch.</t>
  </si>
  <si>
    <t>Bảng giá model — $ / 1 triệu token</t>
  </si>
  <si>
    <t>Model</t>
  </si>
  <si>
    <t>Giá Input ($/1M)</t>
  </si>
  <si>
    <t>Giá Output ($/1M)</t>
  </si>
  <si>
    <t>Ghi chú</t>
  </si>
  <si>
    <t>gemma-4-26b-a4b-it</t>
  </si>
  <si>
    <t>Đang dùng hiện tại — Google phục vụ Gemma MIỄN PHÍ qua Gemini API trực tiếp</t>
  </si>
  <si>
    <t>gpt-4o-mini</t>
  </si>
  <si>
    <t>OpenAI — fallback khi Gemini hết quota (đã cấu hình trong pricing.py)</t>
  </si>
  <si>
    <t>gemma-4-E4B-it</t>
  </si>
  <si>
    <t>Aggregator bên thứ 3 (không phải Google trực tiếp) — KHÔNG miễn phí</t>
  </si>
  <si>
    <t>gemma-3-4b-it</t>
  </si>
  <si>
    <t>Aggregator bên thứ 3</t>
  </si>
  <si>
    <t>gemma-3-12b-it</t>
  </si>
  <si>
    <t>gemma-3-27b-it</t>
  </si>
  <si>
    <t>gemma-4-26B-A4B-it (aggregator)</t>
  </si>
  <si>
    <t>Cùng tên model đang dùng nhưng qua aggregator — CÓ TÍNH PHÍ, khác Google trực tiếp</t>
  </si>
  <si>
    <t>gemma-4-31B-it</t>
  </si>
  <si>
    <t>gemma-4-31B-it-Ultra</t>
  </si>
  <si>
    <t>Context 1024k — hợp bài báo dài (News Sentiment)</t>
  </si>
  <si>
    <t>DeepSeek-V4-Flash</t>
  </si>
  <si>
    <t/>
  </si>
  <si>
    <t>DeepSeek-V3-0324</t>
  </si>
  <si>
    <t>DeepSeek-V3.1</t>
  </si>
  <si>
    <t>Đề xuất cho Classification/Verification/Consensus</t>
  </si>
  <si>
    <t>DeepSeek-V3</t>
  </si>
  <si>
    <t>DeepSeek-R1-0528</t>
  </si>
  <si>
    <t>Đề xuất cho Cross-check khi confidence thấp</t>
  </si>
  <si>
    <t>DeepSeek-V4-Pro</t>
  </si>
  <si>
    <t>Sửa/thêm dòng ở đây khi có bảng giá mới — sheet 'Tinh gia' tự tra cứu lại qua VLOOKUP.</t>
  </si>
  <si>
    <t>Token trung bình THẬT / lượt gọi — truy vấn bảng llm_usage (332 lượt, 2026-08-16)</t>
  </si>
  <si>
    <t>Query: SELECT call_type, model, AVG(input_tokens), AVG(output_tokens), COUNT(*) FROM llm_usage GROUP BY call_type, model</t>
  </si>
  <si>
    <t>Agent (call_type)</t>
  </si>
  <si>
    <t>Model hiện tại (thật)</t>
  </si>
  <si>
    <t>Input TB (token)</t>
  </si>
  <si>
    <t>Output TB (token)</t>
  </si>
  <si>
    <t>Số lượt đã ghi nhận</t>
  </si>
  <si>
    <t>(chưa có dữ liệu)</t>
  </si>
  <si>
    <t>Ghi chú: verification tốn input gấp ~4 lần classification vì prompt verify chèn thêm tài liệu đối chiếu (topic_docs) từ knowledge base. Consensus/Pain Point input thấp nhưng output cao vì sinh văn bản tự do (reasoning/description), không phải JSON có cấu trúc ngắn như 2 agent kia.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</si>
</sst>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0.00"/>
    <numFmt numFmtId="179" formatCode="&quot;$&quot;0.0000"/>
    <numFmt numFmtId="180" formatCode="&quot;$&quot;0.000000"/>
  </numFmts>
  <fonts count="27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i/>
      <sz val="9"/>
      <color rgb="FF6B728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B4530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178" fontId="0" fillId="0" borderId="1" xfId="0" applyNumberFormat="1" applyBorder="1"/>
    <xf numFmtId="0" fontId="4" fillId="0" borderId="0" xfId="0" applyFont="1"/>
    <xf numFmtId="0" fontId="5" fillId="0" borderId="0" xfId="0" applyFont="1"/>
    <xf numFmtId="3" fontId="6" fillId="3" borderId="0" xfId="0" applyNumberFormat="1" applyFont="1" applyFill="1"/>
    <xf numFmtId="179" fontId="0" fillId="0" borderId="1" xfId="0" applyNumberFormat="1" applyBorder="1"/>
    <xf numFmtId="180" fontId="0" fillId="0" borderId="1" xfId="0" applyNumberFormat="1" applyBorder="1"/>
    <xf numFmtId="3" fontId="0" fillId="0" borderId="1" xfId="0" applyNumberFormat="1" applyBorder="1"/>
    <xf numFmtId="0" fontId="5" fillId="3" borderId="0" xfId="0" applyFont="1" applyFill="1"/>
    <xf numFmtId="0" fontId="0" fillId="3" borderId="0" xfId="0" applyFill="1"/>
    <xf numFmtId="180" fontId="5" fillId="3" borderId="0" xfId="0" applyNumberFormat="1" applyFont="1" applyFill="1"/>
    <xf numFmtId="3" fontId="5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showGridLines="0" tabSelected="1" workbookViewId="0">
      <pane ySplit="4" topLeftCell="A5" activePane="bottomLeft" state="frozen"/>
      <selection/>
      <selection pane="bottomLeft" activeCell="C5" sqref="C5"/>
    </sheetView>
  </sheetViews>
  <sheetFormatPr defaultColWidth="9" defaultRowHeight="14.4"/>
  <cols>
    <col min="1" max="2" width="24" customWidth="1"/>
    <col min="3" max="3" width="18.5555555555556" customWidth="1"/>
    <col min="4" max="4" width="19.5555555555556" customWidth="1"/>
    <col min="5" max="6" width="13" customWidth="1"/>
    <col min="7" max="7" width="15" customWidth="1"/>
    <col min="8" max="8" width="14" customWidth="1"/>
    <col min="9" max="10" width="16" customWidth="1"/>
  </cols>
  <sheetData>
    <row r="1" ht="18" spans="1:10">
      <c r="A1" s="7" t="s">
        <v>0</v>
      </c>
    </row>
    <row r="2" spans="1:10">
      <c r="A2" s="8" t="s">
        <v>1</v>
      </c>
      <c r="F2" s="9">
        <v>25400</v>
      </c>
    </row>
    <row r="4" ht="28.8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5">
        <f>'Du lieu thuc te'!C5</f>
        <v>518.25</v>
      </c>
      <c r="D5" s="5">
        <f>'Du lieu thuc te'!D5</f>
        <v>50.21</v>
      </c>
      <c r="E5" s="10">
        <f>VLOOKUP(B5,'Bang gia model'!$A$4:$C$21,2,0)</f>
        <v>0.26</v>
      </c>
      <c r="F5" s="10">
        <f>VLOOKUP(B5,'Bang gia model'!$A$4:$C$21,3,0)</f>
        <v>0.38</v>
      </c>
      <c r="G5" s="11">
        <f>(C5/1000000*E5)+(D5/1000000*F5)</f>
        <v>0.0001538248</v>
      </c>
      <c r="H5" s="4">
        <f>'Du lieu thuc te'!E5</f>
        <v>163</v>
      </c>
      <c r="I5" s="10">
        <f>G5*H5</f>
        <v>0.0250734424</v>
      </c>
      <c r="J5" s="12">
        <f>I5*$F$2</f>
        <v>636.86543696</v>
      </c>
    </row>
    <row r="6" spans="1:10">
      <c r="A6" s="4" t="s">
        <v>14</v>
      </c>
      <c r="B6" s="4" t="s">
        <v>13</v>
      </c>
      <c r="C6" s="5">
        <f>'Du lieu thuc te'!C6</f>
        <v>2213.42</v>
      </c>
      <c r="D6" s="5">
        <f>'Du lieu thuc te'!D6</f>
        <v>70.25</v>
      </c>
      <c r="E6" s="10">
        <f>VLOOKUP(B6,'Bang gia model'!$A$4:$C$21,2,0)</f>
        <v>0.26</v>
      </c>
      <c r="F6" s="10">
        <f>VLOOKUP(B6,'Bang gia model'!$A$4:$C$21,3,0)</f>
        <v>0.38</v>
      </c>
      <c r="G6" s="11">
        <f>(C6/1000000*E6)+(D6/1000000*F6)</f>
        <v>0.0006021842</v>
      </c>
      <c r="H6" s="4">
        <f>'Du lieu thuc te'!E6</f>
        <v>149</v>
      </c>
      <c r="I6" s="10">
        <f>G6*H6</f>
        <v>0.0897254458</v>
      </c>
      <c r="J6" s="12">
        <f>I6*$F$2</f>
        <v>2279.02632332</v>
      </c>
    </row>
    <row r="7" spans="1:10">
      <c r="A7" s="4" t="s">
        <v>15</v>
      </c>
      <c r="B7" s="4" t="s">
        <v>13</v>
      </c>
      <c r="C7" s="5">
        <f>'Du lieu thuc te'!C7</f>
        <v>173.16</v>
      </c>
      <c r="D7" s="5">
        <f>'Du lieu thuc te'!D7</f>
        <v>835.37</v>
      </c>
      <c r="E7" s="10">
        <f>VLOOKUP(B7,'Bang gia model'!$A$4:$C$21,2,0)</f>
        <v>0.26</v>
      </c>
      <c r="F7" s="10">
        <f>VLOOKUP(B7,'Bang gia model'!$A$4:$C$21,3,0)</f>
        <v>0.38</v>
      </c>
      <c r="G7" s="11">
        <f>(C7/1000000*E7)+(D7/1000000*F7)</f>
        <v>0.0003624622</v>
      </c>
      <c r="H7" s="4">
        <f>'Du lieu thuc te'!E7</f>
        <v>19</v>
      </c>
      <c r="I7" s="10">
        <f>G7*H7</f>
        <v>0.0068867818</v>
      </c>
      <c r="J7" s="12">
        <f>I7*$F$2</f>
        <v>174.92425772</v>
      </c>
    </row>
    <row r="8" spans="1:10">
      <c r="A8" s="4" t="s">
        <v>16</v>
      </c>
      <c r="B8" s="4" t="s">
        <v>17</v>
      </c>
      <c r="C8" s="5">
        <f>'Du lieu thuc te'!C8</f>
        <v>144</v>
      </c>
      <c r="D8" s="5">
        <f>'Du lieu thuc te'!D8</f>
        <v>848</v>
      </c>
      <c r="E8" s="10">
        <f>VLOOKUP(B8,'Bang gia model'!$A$4:$C$21,2,0)</f>
        <v>0.09</v>
      </c>
      <c r="F8" s="10">
        <f>VLOOKUP(B8,'Bang gia model'!$A$4:$C$21,3,0)</f>
        <v>0.34</v>
      </c>
      <c r="G8" s="11">
        <f>(C8/1000000*E8)+(D8/1000000*F8)</f>
        <v>0.00030128</v>
      </c>
      <c r="H8" s="4">
        <f>'Du lieu thuc te'!E8</f>
        <v>1</v>
      </c>
      <c r="I8" s="10">
        <f>G8*H8</f>
        <v>0.00030128</v>
      </c>
      <c r="J8" s="12">
        <f>I8*$F$2</f>
        <v>7.652512</v>
      </c>
    </row>
    <row r="9" spans="1:10">
      <c r="A9" s="4" t="s">
        <v>18</v>
      </c>
      <c r="B9" s="4" t="s">
        <v>19</v>
      </c>
      <c r="C9" s="5">
        <f>'Du lieu thuc te'!C9</f>
        <v>0</v>
      </c>
      <c r="D9" s="5">
        <f>'Du lieu thuc te'!D9</f>
        <v>0</v>
      </c>
      <c r="E9" s="10">
        <f>VLOOKUP(B9,'Bang gia model'!$A$4:$C$21,2,0)</f>
        <v>0.08</v>
      </c>
      <c r="F9" s="10">
        <f>VLOOKUP(B9,'Bang gia model'!$A$4:$C$21,3,0)</f>
        <v>0.18</v>
      </c>
      <c r="G9" s="11">
        <f>(C9/1000000*E9)+(D9/1000000*F9)</f>
        <v>0</v>
      </c>
      <c r="H9" s="4">
        <f>'Du lieu thuc te'!E9</f>
        <v>0</v>
      </c>
      <c r="I9" s="10">
        <f>G9*H9</f>
        <v>0</v>
      </c>
      <c r="J9" s="12">
        <f>I9*$F$2</f>
        <v>0</v>
      </c>
    </row>
    <row r="11" spans="1:10">
      <c r="A11" s="13" t="s">
        <v>20</v>
      </c>
      <c r="B11" s="14"/>
      <c r="C11" s="14"/>
      <c r="D11" s="14"/>
      <c r="E11" s="14"/>
      <c r="F11" s="14"/>
      <c r="G11" s="15">
        <f>SUM(G5:G9)</f>
        <v>0.0014197512</v>
      </c>
      <c r="H11" s="14"/>
      <c r="I11" s="15">
        <f>SUM(I5:I9)</f>
        <v>0.12198695</v>
      </c>
      <c r="J11" s="16">
        <f>SUM(J5:J9)</f>
        <v>3098.46853</v>
      </c>
    </row>
    <row r="13" spans="1:10">
      <c r="A13" s="8" t="s">
        <v>21</v>
      </c>
      <c r="G13" s="15">
        <f>G5+G6+G7</f>
        <v>0.0011184712</v>
      </c>
      <c r="I13" s="14"/>
      <c r="J13" s="16">
        <f>(G5+G6+G7)*$F$2</f>
        <v>28.40916848</v>
      </c>
    </row>
    <row r="15" ht="30" customHeight="1" spans="1:10">
      <c r="A15" s="2" t="s">
        <v>22</v>
      </c>
    </row>
  </sheetData>
  <mergeCells count="4">
    <mergeCell ref="A1:J1"/>
    <mergeCell ref="A2:E2"/>
    <mergeCell ref="A13:F13"/>
    <mergeCell ref="A15:J15"/>
  </mergeCells>
  <dataValidations count="1">
    <dataValidation type="list" sqref="B5:B9">
      <formula1>'Bang gia model'!$A$4:$A$21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34" customWidth="1"/>
    <col min="2" max="3" width="16" customWidth="1"/>
    <col min="4" max="4" width="60" customWidth="1"/>
  </cols>
  <sheetData>
    <row r="1" ht="17.4" spans="1:4">
      <c r="A1" s="1" t="s">
        <v>23</v>
      </c>
    </row>
    <row r="3" ht="28.8" spans="1:4">
      <c r="A3" s="3" t="s">
        <v>24</v>
      </c>
      <c r="B3" s="3" t="s">
        <v>25</v>
      </c>
      <c r="C3" s="3" t="s">
        <v>26</v>
      </c>
      <c r="D3" s="3" t="s">
        <v>27</v>
      </c>
    </row>
    <row r="4" spans="1:4">
      <c r="A4" s="4" t="s">
        <v>28</v>
      </c>
      <c r="B4" s="6">
        <v>0</v>
      </c>
      <c r="C4" s="6">
        <v>0</v>
      </c>
      <c r="D4" s="4" t="s">
        <v>29</v>
      </c>
    </row>
    <row r="5" spans="1:4">
      <c r="A5" s="4" t="s">
        <v>30</v>
      </c>
      <c r="B5" s="6">
        <v>0.15</v>
      </c>
      <c r="C5" s="6">
        <v>0.6</v>
      </c>
      <c r="D5" s="4" t="s">
        <v>31</v>
      </c>
    </row>
    <row r="6" spans="1:4">
      <c r="A6" s="4" t="s">
        <v>32</v>
      </c>
      <c r="B6" s="6">
        <v>0.02</v>
      </c>
      <c r="C6" s="6">
        <v>0.1</v>
      </c>
      <c r="D6" s="4" t="s">
        <v>33</v>
      </c>
    </row>
    <row r="7" spans="1:4">
      <c r="A7" s="4" t="s">
        <v>34</v>
      </c>
      <c r="B7" s="6">
        <v>0.05</v>
      </c>
      <c r="C7" s="6">
        <v>0.1</v>
      </c>
      <c r="D7" s="4" t="s">
        <v>35</v>
      </c>
    </row>
    <row r="8" spans="1:4">
      <c r="A8" s="4" t="s">
        <v>36</v>
      </c>
      <c r="B8" s="6">
        <v>0.05</v>
      </c>
      <c r="C8" s="6">
        <v>0.15</v>
      </c>
      <c r="D8" s="4" t="s">
        <v>35</v>
      </c>
    </row>
    <row r="9" spans="1:4">
      <c r="A9" s="4" t="s">
        <v>37</v>
      </c>
      <c r="B9" s="6">
        <v>0.08</v>
      </c>
      <c r="C9" s="6">
        <v>0.16</v>
      </c>
      <c r="D9" s="4" t="s">
        <v>35</v>
      </c>
    </row>
    <row r="10" spans="1:4">
      <c r="A10" s="4" t="s">
        <v>38</v>
      </c>
      <c r="B10" s="6">
        <v>0.07</v>
      </c>
      <c r="C10" s="6">
        <v>0.34</v>
      </c>
      <c r="D10" s="4" t="s">
        <v>39</v>
      </c>
    </row>
    <row r="11" spans="1:4">
      <c r="A11" s="4" t="s">
        <v>17</v>
      </c>
      <c r="B11" s="6">
        <v>0.09</v>
      </c>
      <c r="C11" s="6">
        <v>0.34</v>
      </c>
      <c r="D11" s="4" t="s">
        <v>35</v>
      </c>
    </row>
    <row r="12" spans="1:4">
      <c r="A12" s="4" t="s">
        <v>40</v>
      </c>
      <c r="B12" s="6">
        <v>0.13</v>
      </c>
      <c r="C12" s="6">
        <v>0.38</v>
      </c>
      <c r="D12" s="4" t="s">
        <v>35</v>
      </c>
    </row>
    <row r="13" spans="1:4">
      <c r="A13" s="4" t="s">
        <v>41</v>
      </c>
      <c r="B13" s="6">
        <v>0.27</v>
      </c>
      <c r="C13" s="6">
        <v>0.76</v>
      </c>
      <c r="D13" s="4" t="s">
        <v>35</v>
      </c>
    </row>
    <row r="14" spans="1:4">
      <c r="A14" s="4" t="s">
        <v>19</v>
      </c>
      <c r="B14" s="6">
        <v>0.08</v>
      </c>
      <c r="C14" s="6">
        <v>0.18</v>
      </c>
      <c r="D14" s="4" t="s">
        <v>42</v>
      </c>
    </row>
    <row r="15" spans="1:4">
      <c r="A15" s="4" t="s">
        <v>43</v>
      </c>
      <c r="B15" s="6">
        <v>0.09</v>
      </c>
      <c r="C15" s="6">
        <v>0.18</v>
      </c>
      <c r="D15" s="4" t="s">
        <v>44</v>
      </c>
    </row>
    <row r="16" spans="1:4">
      <c r="A16" s="4" t="s">
        <v>45</v>
      </c>
      <c r="B16" s="6">
        <v>0.24</v>
      </c>
      <c r="C16" s="6">
        <v>0.9</v>
      </c>
      <c r="D16" s="4" t="s">
        <v>44</v>
      </c>
    </row>
    <row r="17" spans="1:4">
      <c r="A17" s="4" t="s">
        <v>46</v>
      </c>
      <c r="B17" s="6">
        <v>0.25</v>
      </c>
      <c r="C17" s="6">
        <v>0.95</v>
      </c>
      <c r="D17" s="4" t="s">
        <v>44</v>
      </c>
    </row>
    <row r="18" spans="1:4">
      <c r="A18" s="4" t="s">
        <v>13</v>
      </c>
      <c r="B18" s="6">
        <v>0.26</v>
      </c>
      <c r="C18" s="6">
        <v>0.38</v>
      </c>
      <c r="D18" s="4" t="s">
        <v>47</v>
      </c>
    </row>
    <row r="19" spans="1:4">
      <c r="A19" s="4" t="s">
        <v>48</v>
      </c>
      <c r="B19" s="6">
        <v>0.32</v>
      </c>
      <c r="C19" s="6">
        <v>0.89</v>
      </c>
      <c r="D19" s="4" t="s">
        <v>44</v>
      </c>
    </row>
    <row r="20" spans="1:4">
      <c r="A20" s="4" t="s">
        <v>49</v>
      </c>
      <c r="B20" s="6">
        <v>0.5</v>
      </c>
      <c r="C20" s="6">
        <v>2.15</v>
      </c>
      <c r="D20" s="4" t="s">
        <v>50</v>
      </c>
    </row>
    <row r="21" spans="1:4">
      <c r="A21" s="4" t="s">
        <v>51</v>
      </c>
      <c r="B21" s="6">
        <v>1.3</v>
      </c>
      <c r="C21" s="6">
        <v>2.6</v>
      </c>
      <c r="D21" s="4" t="s">
        <v>50</v>
      </c>
    </row>
    <row r="23" spans="1:4">
      <c r="A23" s="2" t="s">
        <v>52</v>
      </c>
    </row>
  </sheetData>
  <mergeCells count="2">
    <mergeCell ref="A1:D1"/>
    <mergeCell ref="A23:D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ySplit="4" topLeftCell="A5" activePane="bottomLeft" state="frozen"/>
      <selection/>
      <selection pane="bottomLeft" activeCell="A1" sqref="A1:E1"/>
    </sheetView>
  </sheetViews>
  <sheetFormatPr defaultColWidth="9" defaultRowHeight="14.4" outlineLevelCol="4"/>
  <cols>
    <col min="1" max="1" width="24" customWidth="1"/>
    <col min="2" max="2" width="26" customWidth="1"/>
    <col min="3" max="4" width="16" customWidth="1"/>
    <col min="5" max="5" width="18" customWidth="1"/>
  </cols>
  <sheetData>
    <row r="1" ht="17.4" spans="1:5">
      <c r="A1" s="1" t="s">
        <v>53</v>
      </c>
    </row>
    <row r="2" spans="1:5">
      <c r="A2" s="2" t="s">
        <v>54</v>
      </c>
    </row>
    <row r="4" spans="1:5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</row>
    <row r="5" spans="1:5">
      <c r="A5" s="4" t="s">
        <v>12</v>
      </c>
      <c r="B5" s="4" t="s">
        <v>28</v>
      </c>
      <c r="C5" s="5">
        <v>518.25</v>
      </c>
      <c r="D5" s="5">
        <v>50.21</v>
      </c>
      <c r="E5" s="4">
        <v>163</v>
      </c>
    </row>
    <row r="6" spans="1:5">
      <c r="A6" s="4" t="s">
        <v>14</v>
      </c>
      <c r="B6" s="4" t="s">
        <v>28</v>
      </c>
      <c r="C6" s="5">
        <v>2213.42</v>
      </c>
      <c r="D6" s="5">
        <v>70.25</v>
      </c>
      <c r="E6" s="4">
        <v>149</v>
      </c>
    </row>
    <row r="7" spans="1:5">
      <c r="A7" s="4" t="s">
        <v>15</v>
      </c>
      <c r="B7" s="4" t="s">
        <v>28</v>
      </c>
      <c r="C7" s="5">
        <v>173.16</v>
      </c>
      <c r="D7" s="5">
        <v>835.37</v>
      </c>
      <c r="E7" s="4">
        <v>19</v>
      </c>
    </row>
    <row r="8" spans="1:5">
      <c r="A8" s="4" t="s">
        <v>16</v>
      </c>
      <c r="B8" s="4" t="s">
        <v>28</v>
      </c>
      <c r="C8" s="5">
        <v>144</v>
      </c>
      <c r="D8" s="5">
        <v>848</v>
      </c>
      <c r="E8" s="4">
        <v>1</v>
      </c>
    </row>
    <row r="9" spans="1:5">
      <c r="A9" s="4" t="s">
        <v>18</v>
      </c>
      <c r="B9" s="4" t="s">
        <v>60</v>
      </c>
      <c r="C9" s="5">
        <v>0</v>
      </c>
      <c r="D9" s="5">
        <v>0</v>
      </c>
      <c r="E9" s="4">
        <v>0</v>
      </c>
    </row>
    <row r="11" ht="30" customHeight="1" spans="1:5">
      <c r="A11" s="2" t="s">
        <v>61</v>
      </c>
    </row>
  </sheetData>
  <mergeCells count="3">
    <mergeCell ref="A1:E1"/>
    <mergeCell ref="A2:E2"/>
    <mergeCell ref="A11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Tinh gia</vt:lpstr>
      <vt:lpstr>Bang gia model</vt:lpstr>
      <vt:lpstr>Du lieu thuc 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 Trần</cp:lastModifiedBy>
  <dcterms:created xsi:type="dcterms:W3CDTF">2026-08-16T10:47:00Z</dcterms:created>
  <dcterms:modified xsi:type="dcterms:W3CDTF">2026-08-17T01:05:21Z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9C35EEB69A1F4B32B9C76068FBBD3A03_12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